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dspinut-my.sharepoint.com/personal/lucica_psd-spinut_hr/Documents/KAPETAN/"/>
    </mc:Choice>
  </mc:AlternateContent>
  <xr:revisionPtr revIDLastSave="850" documentId="8_{52C2DA30-AF7B-4BCF-9717-CE2BE35BFDAB}" xr6:coauthVersionLast="47" xr6:coauthVersionMax="47" xr10:uidLastSave="{360CD6EB-89AE-45B8-AF71-C3F672FD12AB}"/>
  <bookViews>
    <workbookView xWindow="-120" yWindow="-120" windowWidth="29040" windowHeight="15720" activeTab="2" xr2:uid="{84F27C84-3145-48B4-BB1E-403B0063E641}"/>
  </bookViews>
  <sheets>
    <sheet name="ARLA 1" sheetId="1" r:id="rId1"/>
    <sheet name="ARLA 2" sheetId="2" r:id="rId2"/>
    <sheet name="ARLA 3" sheetId="3" r:id="rId3"/>
    <sheet name="ZO" sheetId="7" r:id="rId4"/>
    <sheet name="MD" sheetId="4" r:id="rId5"/>
    <sheet name="LU" sheetId="5" r:id="rId6"/>
    <sheet name="SZ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6" l="1"/>
  <c r="A25" i="6"/>
  <c r="A24" i="6"/>
  <c r="A2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6" i="6"/>
  <c r="A27" i="6"/>
  <c r="A28" i="6"/>
  <c r="A29" i="6"/>
  <c r="A3" i="6"/>
</calcChain>
</file>

<file path=xl/sharedStrings.xml><?xml version="1.0" encoding="utf-8"?>
<sst xmlns="http://schemas.openxmlformats.org/spreadsheetml/2006/main" count="539" uniqueCount="303">
  <si>
    <t>REGISTR. BR.</t>
  </si>
  <si>
    <t>DATUM VAĐENJA</t>
  </si>
  <si>
    <t>VLASNIK</t>
  </si>
  <si>
    <t>POZICIJA</t>
  </si>
  <si>
    <t>NALOG</t>
  </si>
  <si>
    <t>BR. TEL.</t>
  </si>
  <si>
    <t>ST-312</t>
  </si>
  <si>
    <t>NE</t>
  </si>
  <si>
    <t>J</t>
  </si>
  <si>
    <t>od  2019.</t>
  </si>
  <si>
    <t>Gotovac</t>
  </si>
  <si>
    <t>NAPOMENA</t>
  </si>
  <si>
    <t>VEZ</t>
  </si>
  <si>
    <t>bez broda, kaić stoji na gat 1 ili Z.O.</t>
  </si>
  <si>
    <t>8-12</t>
  </si>
  <si>
    <t>ST-6601</t>
  </si>
  <si>
    <t>S</t>
  </si>
  <si>
    <t>ST-6673</t>
  </si>
  <si>
    <t>22.07.26.</t>
  </si>
  <si>
    <t>DA</t>
  </si>
  <si>
    <t>Purkić A.</t>
  </si>
  <si>
    <t>ML-3030</t>
  </si>
  <si>
    <t>Milković J.</t>
  </si>
  <si>
    <t>ugovor za vez na suhom</t>
  </si>
  <si>
    <t>ST-7298</t>
  </si>
  <si>
    <t>Bugarin M.</t>
  </si>
  <si>
    <t>stalni na suhom, ima vez</t>
  </si>
  <si>
    <t>Škaro Ž.</t>
  </si>
  <si>
    <t>07.10.26.</t>
  </si>
  <si>
    <t>ST-6484</t>
  </si>
  <si>
    <t>Jukić M.</t>
  </si>
  <si>
    <t>ST-274422</t>
  </si>
  <si>
    <t>Zimovanje, zatvoren nalog</t>
  </si>
  <si>
    <t>ST-280265</t>
  </si>
  <si>
    <t>06.10.26.</t>
  </si>
  <si>
    <t>Hercegovac B.</t>
  </si>
  <si>
    <t>ST-4273</t>
  </si>
  <si>
    <t>22.04.26.</t>
  </si>
  <si>
    <t>Mladinić N.</t>
  </si>
  <si>
    <t>ST-3979</t>
  </si>
  <si>
    <t>02.06.26.</t>
  </si>
  <si>
    <t>Plevančić Đ.</t>
  </si>
  <si>
    <t>ST-6459</t>
  </si>
  <si>
    <t>11.12.25.</t>
  </si>
  <si>
    <t>Brkljača N.</t>
  </si>
  <si>
    <t>ST-5332</t>
  </si>
  <si>
    <t>30.01.26.</t>
  </si>
  <si>
    <t>Korda N.</t>
  </si>
  <si>
    <t>ST-5626</t>
  </si>
  <si>
    <t>30.03.26.</t>
  </si>
  <si>
    <t>Mladinić M.</t>
  </si>
  <si>
    <t>ST-8665</t>
  </si>
  <si>
    <t>23.07.25.</t>
  </si>
  <si>
    <t>Mladina</t>
  </si>
  <si>
    <t>ZD-138887</t>
  </si>
  <si>
    <t>Dujmović M.</t>
  </si>
  <si>
    <t>Došao kopnom, nije napravljen nalog</t>
  </si>
  <si>
    <t>ST-4041</t>
  </si>
  <si>
    <t>03.08.26.</t>
  </si>
  <si>
    <t>Jurić S.</t>
  </si>
  <si>
    <t>ST-2017</t>
  </si>
  <si>
    <t>11.02.26.</t>
  </si>
  <si>
    <t>Peroš</t>
  </si>
  <si>
    <t>ST-4118</t>
  </si>
  <si>
    <t>Ivković M.</t>
  </si>
  <si>
    <t>stalni na suhom, vez u moru</t>
  </si>
  <si>
    <t>SG-704</t>
  </si>
  <si>
    <t>19.10.26.</t>
  </si>
  <si>
    <t>Jelušić</t>
  </si>
  <si>
    <t>ST-2144</t>
  </si>
  <si>
    <t>Hrga Z.</t>
  </si>
  <si>
    <t>ST-1850</t>
  </si>
  <si>
    <t>Ušeta M</t>
  </si>
  <si>
    <t>Komercijala, bez ugovora</t>
  </si>
  <si>
    <t>05.03.25.</t>
  </si>
  <si>
    <t>Akrap</t>
  </si>
  <si>
    <t>ST-6021</t>
  </si>
  <si>
    <t>RO-997</t>
  </si>
  <si>
    <t>20.10.26.</t>
  </si>
  <si>
    <t>Cecić</t>
  </si>
  <si>
    <t>ST-2243</t>
  </si>
  <si>
    <t>19.11.25.</t>
  </si>
  <si>
    <t>doveo i drugi brod na suho, ZD-138887</t>
  </si>
  <si>
    <t>ST-7059</t>
  </si>
  <si>
    <t>Bakota</t>
  </si>
  <si>
    <t>zelena jedrilica, nema kontakta</t>
  </si>
  <si>
    <t>ST-296890</t>
  </si>
  <si>
    <t>29.09.26.</t>
  </si>
  <si>
    <t>Sekulić</t>
  </si>
  <si>
    <t>ST-7599</t>
  </si>
  <si>
    <t>Đogaš Z.</t>
  </si>
  <si>
    <t>Stalni na suhom</t>
  </si>
  <si>
    <t>ST-5483</t>
  </si>
  <si>
    <t>04.09.26.</t>
  </si>
  <si>
    <t>Maričić A.</t>
  </si>
  <si>
    <t>ST-8858</t>
  </si>
  <si>
    <t>ST-707</t>
  </si>
  <si>
    <t>Bašić I.</t>
  </si>
  <si>
    <t>Ima ugovor, plaća uredno</t>
  </si>
  <si>
    <t>ST-263205</t>
  </si>
  <si>
    <t>18.09.26.</t>
  </si>
  <si>
    <t>Erceg M.</t>
  </si>
  <si>
    <t>Zimovanje, pokriven tendom</t>
  </si>
  <si>
    <t>ST-6914</t>
  </si>
  <si>
    <t>06.08.26.</t>
  </si>
  <si>
    <t>Šegvić M.</t>
  </si>
  <si>
    <t>ST-272129</t>
  </si>
  <si>
    <t>Beaukleman</t>
  </si>
  <si>
    <t>Samo suhi vez</t>
  </si>
  <si>
    <t>Calafuria, pokriven zelenom tendom</t>
  </si>
  <si>
    <t>ST-2561</t>
  </si>
  <si>
    <t>28.09.26.</t>
  </si>
  <si>
    <t>Mijota I.</t>
  </si>
  <si>
    <t>CK-3781</t>
  </si>
  <si>
    <t>18.08.26.</t>
  </si>
  <si>
    <t>Radina B.</t>
  </si>
  <si>
    <t>Vanjski</t>
  </si>
  <si>
    <t>Došao kopnom, nije napravljen nalog, mora donijeti papire, crveni gliser pokriven tendom</t>
  </si>
  <si>
    <t>098634128</t>
  </si>
  <si>
    <t>0921336140</t>
  </si>
  <si>
    <t>ST-273857</t>
  </si>
  <si>
    <t>7-2</t>
  </si>
  <si>
    <t>KŽ-62</t>
  </si>
  <si>
    <t>17.10.24.</t>
  </si>
  <si>
    <t>Kalinić</t>
  </si>
  <si>
    <t>Zimovanje, Pokriven zelenom tendom na taileru, zatvoren nalog</t>
  </si>
  <si>
    <t>Spasić</t>
  </si>
  <si>
    <t>ST-2689</t>
  </si>
  <si>
    <t>22.10.26.</t>
  </si>
  <si>
    <t>Babič M.</t>
  </si>
  <si>
    <t>Zimovanje</t>
  </si>
  <si>
    <t>RG-296890</t>
  </si>
  <si>
    <t>Sekulić N.</t>
  </si>
  <si>
    <t>ST-290911</t>
  </si>
  <si>
    <t>30.04.26.</t>
  </si>
  <si>
    <t>Kalaš I.</t>
  </si>
  <si>
    <t>Quisksilver</t>
  </si>
  <si>
    <t>RG-279124</t>
  </si>
  <si>
    <t>14.10.26.</t>
  </si>
  <si>
    <t>Barić F.</t>
  </si>
  <si>
    <t>napraviti nalog prije bacanja</t>
  </si>
  <si>
    <t>ST-3092</t>
  </si>
  <si>
    <t>od 2011.</t>
  </si>
  <si>
    <t>Štrk</t>
  </si>
  <si>
    <t>I</t>
  </si>
  <si>
    <t>dugogodišnji na suhom</t>
  </si>
  <si>
    <t>Matas K.</t>
  </si>
  <si>
    <t>ST-193269</t>
  </si>
  <si>
    <t>19.05.25.</t>
  </si>
  <si>
    <t>Z</t>
  </si>
  <si>
    <t>8-23</t>
  </si>
  <si>
    <t>5-70</t>
  </si>
  <si>
    <t>brod došao kopnom</t>
  </si>
  <si>
    <t>ST-1645</t>
  </si>
  <si>
    <t>28.05.26.</t>
  </si>
  <si>
    <t>Šiško S.</t>
  </si>
  <si>
    <t>ST-2774</t>
  </si>
  <si>
    <t>Drnasin I.</t>
  </si>
  <si>
    <t>113 ZD</t>
  </si>
  <si>
    <t>Stvarna reg. ST-7728</t>
  </si>
  <si>
    <t>ST-2329</t>
  </si>
  <si>
    <t>od 2000.</t>
  </si>
  <si>
    <t>Giljanović B.</t>
  </si>
  <si>
    <t>ima rupu na trupu</t>
  </si>
  <si>
    <t>Plava jedrilica, ST-6103?, Sud</t>
  </si>
  <si>
    <t>Balić Miro</t>
  </si>
  <si>
    <t>drveni brod pokriven crnom tendom, nema registraciju, "Banjola"?</t>
  </si>
  <si>
    <t>PLAVA JED.</t>
  </si>
  <si>
    <t>DRVENA B.</t>
  </si>
  <si>
    <t>ST-6731</t>
  </si>
  <si>
    <t>16.08.26.</t>
  </si>
  <si>
    <t>Čule M.</t>
  </si>
  <si>
    <t>Jedrilica</t>
  </si>
  <si>
    <t>ŽUTA JEDRILICA</t>
  </si>
  <si>
    <t>Tomašević E.</t>
  </si>
  <si>
    <t>Žuta regatna jedrilica na visokom traileru (ST-260607?)</t>
  </si>
  <si>
    <t>532-TI</t>
  </si>
  <si>
    <t>29.06.26.</t>
  </si>
  <si>
    <t>Gariful charter</t>
  </si>
  <si>
    <t>Cvitanić A., nije napravljen nalog</t>
  </si>
  <si>
    <t>KŠ_618</t>
  </si>
  <si>
    <t>Stričević</t>
  </si>
  <si>
    <t>ST-880</t>
  </si>
  <si>
    <t>17.09.26.</t>
  </si>
  <si>
    <t>01.12.25.</t>
  </si>
  <si>
    <t>Dumanić V.</t>
  </si>
  <si>
    <t>"Dama"</t>
  </si>
  <si>
    <t>ST-240177</t>
  </si>
  <si>
    <t>28.10.25.</t>
  </si>
  <si>
    <t>Rajčić J.</t>
  </si>
  <si>
    <t>Vanjski?</t>
  </si>
  <si>
    <t>"Fish Mama", na registraciji TT umisto ST</t>
  </si>
  <si>
    <t>ST-296154</t>
  </si>
  <si>
    <t>Vidović J.</t>
  </si>
  <si>
    <t>ST-3366</t>
  </si>
  <si>
    <t>22.09.26.</t>
  </si>
  <si>
    <t>Maroš</t>
  </si>
  <si>
    <t>ST-8107</t>
  </si>
  <si>
    <t>22.09.25.</t>
  </si>
  <si>
    <t>Mladina N.</t>
  </si>
  <si>
    <t>"Nono"</t>
  </si>
  <si>
    <t>HV-831</t>
  </si>
  <si>
    <t>Hadžović H.</t>
  </si>
  <si>
    <t>DRVENI BROD</t>
  </si>
  <si>
    <t>Šakić</t>
  </si>
  <si>
    <t>Drveni brod 12m, u popravku</t>
  </si>
  <si>
    <t>MN-271704</t>
  </si>
  <si>
    <t>Motorni brod za otpad</t>
  </si>
  <si>
    <t>MALTA</t>
  </si>
  <si>
    <t>CORSICA</t>
  </si>
  <si>
    <t>KATAMARAN</t>
  </si>
  <si>
    <t>Motorni brod, sud?</t>
  </si>
  <si>
    <t>Jedrilica, Dufour</t>
  </si>
  <si>
    <t>ST-5480</t>
  </si>
  <si>
    <t>22.08.26.</t>
  </si>
  <si>
    <t>Mrass</t>
  </si>
  <si>
    <t>ST-444</t>
  </si>
  <si>
    <t>Mudnić</t>
  </si>
  <si>
    <t>ST-272753</t>
  </si>
  <si>
    <t>"Marlene"</t>
  </si>
  <si>
    <t>7-20</t>
  </si>
  <si>
    <t>KO-150222</t>
  </si>
  <si>
    <t>28.08.26.</t>
  </si>
  <si>
    <t>Ivančević N.</t>
  </si>
  <si>
    <t>ST-296406</t>
  </si>
  <si>
    <t>16.10.26.</t>
  </si>
  <si>
    <t>05.10.26.</t>
  </si>
  <si>
    <t>02.10.26.</t>
  </si>
  <si>
    <t>Bazdarić M.</t>
  </si>
  <si>
    <t>ST-3333</t>
  </si>
  <si>
    <t>ST-7330</t>
  </si>
  <si>
    <t>Barbir</t>
  </si>
  <si>
    <t>ST-1762</t>
  </si>
  <si>
    <t>23.10.26.</t>
  </si>
  <si>
    <t>Jadrijević t.</t>
  </si>
  <si>
    <t>ST-3349</t>
  </si>
  <si>
    <t>Bašić D.</t>
  </si>
  <si>
    <t>Jedrilica plava</t>
  </si>
  <si>
    <t>Fontain Pajot</t>
  </si>
  <si>
    <t>ST-274332</t>
  </si>
  <si>
    <t>Vulić D.</t>
  </si>
  <si>
    <t>SU-1613</t>
  </si>
  <si>
    <t>Bijela jedrilica</t>
  </si>
  <si>
    <t>ST-5150</t>
  </si>
  <si>
    <t>Polić</t>
  </si>
  <si>
    <t>09.12.26.</t>
  </si>
  <si>
    <t>HV-195412</t>
  </si>
  <si>
    <t>ST-276724</t>
  </si>
  <si>
    <t>24.09.26.</t>
  </si>
  <si>
    <t>Tabak</t>
  </si>
  <si>
    <t>ST-7557</t>
  </si>
  <si>
    <t>15.06.26.</t>
  </si>
  <si>
    <t>Šubat N.</t>
  </si>
  <si>
    <t>Pao jarbol</t>
  </si>
  <si>
    <t>"Why Not", pokriveni gliser</t>
  </si>
  <si>
    <t>1786-ZD</t>
  </si>
  <si>
    <t>vector 36, bez jarbola</t>
  </si>
  <si>
    <t>ST-8972</t>
  </si>
  <si>
    <t>07.11.26.</t>
  </si>
  <si>
    <t>Boschi V.</t>
  </si>
  <si>
    <t>1243-ST</t>
  </si>
  <si>
    <t>LEGIO QUARTA</t>
  </si>
  <si>
    <t>ST-7543</t>
  </si>
  <si>
    <t>Ćurin D.</t>
  </si>
  <si>
    <t>Ide na popravak kamionom</t>
  </si>
  <si>
    <t>22.10.24.</t>
  </si>
  <si>
    <t>Ćavar M.</t>
  </si>
  <si>
    <t>bež gliser, stvarna registracija ST-285353</t>
  </si>
  <si>
    <t>Bezeljak T.</t>
  </si>
  <si>
    <t>09.09.24.</t>
  </si>
  <si>
    <t>Gliser na kolicima, stvarna registracija ST-291818 (PŠD 160), "Trophy" na boku</t>
  </si>
  <si>
    <t>ST-3412</t>
  </si>
  <si>
    <t>Krolo S.</t>
  </si>
  <si>
    <t>registracija napisana na desnom boku, pasara sa kabinom i natkabinom, modra tenda</t>
  </si>
  <si>
    <t>ST-291085</t>
  </si>
  <si>
    <t>Burić D.</t>
  </si>
  <si>
    <t>Sivi kaić na podu, došao kopnom 02/25</t>
  </si>
  <si>
    <t>2-63</t>
  </si>
  <si>
    <t>KŠ-270967</t>
  </si>
  <si>
    <t>Budišin</t>
  </si>
  <si>
    <t>"Palmina" Megles 24, regatna jedrilica na traileru</t>
  </si>
  <si>
    <t>2 mj. 25.</t>
  </si>
  <si>
    <t>FN-52187</t>
  </si>
  <si>
    <t>Jedrilica na kolicima, došao na kamionu, strana registracija treba promijeniti</t>
  </si>
  <si>
    <t>08.07.25.</t>
  </si>
  <si>
    <t>Modri gliser, stvarna registracija PL-235731</t>
  </si>
  <si>
    <t>ne plaća od 2024.</t>
  </si>
  <si>
    <t>Plenković M.</t>
  </si>
  <si>
    <t>od 2024.</t>
  </si>
  <si>
    <t>ST-6686</t>
  </si>
  <si>
    <t>Denić</t>
  </si>
  <si>
    <t>od 2009.</t>
  </si>
  <si>
    <t>Ansa charter d.o.o.</t>
  </si>
  <si>
    <t>Popović Saša</t>
  </si>
  <si>
    <t>KŽ-242717</t>
  </si>
  <si>
    <t>Ivanišević Đ.</t>
  </si>
  <si>
    <t>TG-4414</t>
  </si>
  <si>
    <t>26.10.26.</t>
  </si>
  <si>
    <t>Farac J.</t>
  </si>
  <si>
    <t>Zatvoren nalog 24/207</t>
  </si>
  <si>
    <t>02.01.25.</t>
  </si>
  <si>
    <t>4.9.26.</t>
  </si>
  <si>
    <t>17.9.26.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</si>
</sst>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1"/>
      <color rgb="FF00B0F0"/>
      <name val="Aptos Narrow"/>
      <family val="2"/>
      <charset val="238"/>
      <scheme val="minor"/>
    </font>
    <font>
      <sz val="11"/>
      <color theme="8" tint="0.39997558519241921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4" fillId="0" borderId="0" xfId="0" applyNumberFormat="1" applyFont="1"/>
    <xf numFmtId="0" fontId="7" fillId="2" borderId="0" xfId="0" applyFont="1" applyFill="1"/>
    <xf numFmtId="0" fontId="4" fillId="2" borderId="0" xfId="0" applyFont="1" applyFill="1"/>
    <xf numFmtId="0" fontId="8" fillId="2" borderId="0" xfId="0" applyFont="1" applyFill="1"/>
    <xf numFmtId="0" fontId="0" fillId="2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22BC-313F-4ED8-9644-07F7E28E69AD}">
  <dimension ref="A2:I20"/>
  <sheetViews>
    <sheetView workbookViewId="0">
      <selection activeCell="G23" sqref="G23"/>
    </sheetView>
  </sheetViews>
  <sheetFormatPr defaultRowHeight="15" x14ac:dyDescent="0.25"/>
  <cols>
    <col min="2" max="2" width="14" customWidth="1"/>
    <col min="3" max="3" width="16.42578125" customWidth="1"/>
    <col min="7" max="7" width="11.140625" style="1" bestFit="1" customWidth="1"/>
    <col min="8" max="8" width="14.28515625" customWidth="1"/>
    <col min="9" max="9" width="33.42578125" customWidth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3" t="s">
        <v>5</v>
      </c>
      <c r="I2" s="3" t="s">
        <v>11</v>
      </c>
    </row>
    <row r="3" spans="1:9" x14ac:dyDescent="0.25">
      <c r="A3">
        <v>1</v>
      </c>
      <c r="B3" s="7" t="s">
        <v>6</v>
      </c>
      <c r="C3" s="6" t="s">
        <v>9</v>
      </c>
      <c r="D3" t="s">
        <v>10</v>
      </c>
      <c r="E3" t="s">
        <v>8</v>
      </c>
      <c r="F3" t="s">
        <v>7</v>
      </c>
      <c r="G3" s="1" t="s">
        <v>14</v>
      </c>
      <c r="I3" t="s">
        <v>13</v>
      </c>
    </row>
    <row r="4" spans="1:9" x14ac:dyDescent="0.25">
      <c r="A4">
        <v>2</v>
      </c>
      <c r="B4" t="s">
        <v>232</v>
      </c>
      <c r="C4" t="s">
        <v>233</v>
      </c>
      <c r="D4" t="s">
        <v>234</v>
      </c>
      <c r="E4" t="s">
        <v>8</v>
      </c>
      <c r="F4" t="s">
        <v>19</v>
      </c>
      <c r="I4" t="s">
        <v>32</v>
      </c>
    </row>
    <row r="5" spans="1:9" x14ac:dyDescent="0.25">
      <c r="A5">
        <v>3</v>
      </c>
    </row>
    <row r="6" spans="1:9" x14ac:dyDescent="0.25">
      <c r="A6">
        <v>4</v>
      </c>
    </row>
    <row r="7" spans="1:9" x14ac:dyDescent="0.25">
      <c r="A7">
        <v>5</v>
      </c>
    </row>
    <row r="8" spans="1:9" x14ac:dyDescent="0.25">
      <c r="A8">
        <v>6</v>
      </c>
    </row>
    <row r="9" spans="1:9" x14ac:dyDescent="0.25">
      <c r="A9">
        <v>7</v>
      </c>
    </row>
    <row r="10" spans="1:9" x14ac:dyDescent="0.25">
      <c r="A10">
        <v>8</v>
      </c>
    </row>
    <row r="11" spans="1:9" x14ac:dyDescent="0.25">
      <c r="A11">
        <v>9</v>
      </c>
    </row>
    <row r="12" spans="1:9" x14ac:dyDescent="0.25">
      <c r="A12">
        <v>10</v>
      </c>
    </row>
    <row r="13" spans="1:9" x14ac:dyDescent="0.25">
      <c r="A13">
        <v>11</v>
      </c>
    </row>
    <row r="14" spans="1:9" x14ac:dyDescent="0.25">
      <c r="A14">
        <v>12</v>
      </c>
    </row>
    <row r="15" spans="1:9" x14ac:dyDescent="0.25">
      <c r="A15">
        <v>13</v>
      </c>
    </row>
    <row r="16" spans="1: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D972-C96D-45C5-953C-5625285BB3B5}">
  <dimension ref="A2:I32"/>
  <sheetViews>
    <sheetView workbookViewId="0">
      <selection activeCell="B3" sqref="B3"/>
    </sheetView>
  </sheetViews>
  <sheetFormatPr defaultRowHeight="15" x14ac:dyDescent="0.25"/>
  <cols>
    <col min="2" max="2" width="13" customWidth="1"/>
    <col min="3" max="3" width="17" customWidth="1"/>
    <col min="4" max="4" width="12.28515625" customWidth="1"/>
    <col min="8" max="8" width="14.5703125" customWidth="1"/>
    <col min="9" max="9" width="36.28515625" customWidth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3" t="s">
        <v>5</v>
      </c>
      <c r="I2" s="3" t="s">
        <v>11</v>
      </c>
    </row>
    <row r="3" spans="1:9" x14ac:dyDescent="0.25">
      <c r="A3">
        <v>1</v>
      </c>
      <c r="B3" s="8" t="s">
        <v>15</v>
      </c>
      <c r="C3" s="9" t="s">
        <v>265</v>
      </c>
      <c r="D3" s="10" t="s">
        <v>266</v>
      </c>
      <c r="E3" t="s">
        <v>16</v>
      </c>
      <c r="F3" t="s">
        <v>19</v>
      </c>
      <c r="I3" t="s">
        <v>267</v>
      </c>
    </row>
    <row r="4" spans="1:9" x14ac:dyDescent="0.25">
      <c r="A4">
        <v>2</v>
      </c>
      <c r="B4" t="s">
        <v>17</v>
      </c>
      <c r="C4" t="s">
        <v>18</v>
      </c>
      <c r="D4" t="s">
        <v>20</v>
      </c>
      <c r="E4" t="s">
        <v>16</v>
      </c>
      <c r="F4" t="s">
        <v>19</v>
      </c>
    </row>
    <row r="5" spans="1:9" x14ac:dyDescent="0.25">
      <c r="A5">
        <v>3</v>
      </c>
      <c r="B5" s="7" t="s">
        <v>21</v>
      </c>
      <c r="D5" t="s">
        <v>22</v>
      </c>
      <c r="E5" t="s">
        <v>16</v>
      </c>
      <c r="F5" t="s">
        <v>7</v>
      </c>
      <c r="I5" t="s">
        <v>23</v>
      </c>
    </row>
    <row r="6" spans="1:9" x14ac:dyDescent="0.25">
      <c r="A6">
        <v>4</v>
      </c>
      <c r="B6" s="7" t="s">
        <v>24</v>
      </c>
      <c r="D6" t="s">
        <v>25</v>
      </c>
      <c r="E6" t="s">
        <v>8</v>
      </c>
      <c r="F6" t="s">
        <v>7</v>
      </c>
      <c r="I6" t="s">
        <v>26</v>
      </c>
    </row>
    <row r="7" spans="1:9" x14ac:dyDescent="0.25">
      <c r="A7">
        <v>5</v>
      </c>
      <c r="B7" s="7" t="s">
        <v>29</v>
      </c>
      <c r="D7" t="s">
        <v>27</v>
      </c>
      <c r="E7" t="s">
        <v>8</v>
      </c>
      <c r="F7" t="s">
        <v>7</v>
      </c>
      <c r="I7" t="s">
        <v>26</v>
      </c>
    </row>
    <row r="8" spans="1:9" x14ac:dyDescent="0.25">
      <c r="A8">
        <v>6</v>
      </c>
      <c r="B8" t="s">
        <v>31</v>
      </c>
      <c r="C8" t="s">
        <v>28</v>
      </c>
      <c r="D8" t="s">
        <v>30</v>
      </c>
      <c r="E8" t="s">
        <v>16</v>
      </c>
      <c r="F8" t="s">
        <v>7</v>
      </c>
      <c r="I8" t="s">
        <v>32</v>
      </c>
    </row>
    <row r="9" spans="1:9" x14ac:dyDescent="0.25">
      <c r="A9">
        <v>7</v>
      </c>
      <c r="B9" t="s">
        <v>33</v>
      </c>
      <c r="C9" t="s">
        <v>34</v>
      </c>
      <c r="D9" t="s">
        <v>35</v>
      </c>
      <c r="E9" t="s">
        <v>16</v>
      </c>
      <c r="F9" t="s">
        <v>7</v>
      </c>
      <c r="I9" t="s">
        <v>32</v>
      </c>
    </row>
    <row r="10" spans="1:9" x14ac:dyDescent="0.25">
      <c r="A10">
        <v>8</v>
      </c>
      <c r="B10" t="s">
        <v>36</v>
      </c>
      <c r="C10" t="s">
        <v>37</v>
      </c>
      <c r="D10" t="s">
        <v>38</v>
      </c>
      <c r="E10" t="s">
        <v>8</v>
      </c>
      <c r="F10" t="s">
        <v>19</v>
      </c>
    </row>
    <row r="11" spans="1:9" x14ac:dyDescent="0.25">
      <c r="A11">
        <v>9</v>
      </c>
      <c r="B11" t="s">
        <v>39</v>
      </c>
      <c r="C11" t="s">
        <v>40</v>
      </c>
      <c r="D11" t="s">
        <v>41</v>
      </c>
      <c r="E11" t="s">
        <v>16</v>
      </c>
      <c r="F11" t="s">
        <v>19</v>
      </c>
    </row>
    <row r="12" spans="1:9" x14ac:dyDescent="0.25">
      <c r="A12">
        <v>10</v>
      </c>
      <c r="B12" t="s">
        <v>42</v>
      </c>
      <c r="C12" t="s">
        <v>43</v>
      </c>
      <c r="D12" t="s">
        <v>44</v>
      </c>
      <c r="E12" t="s">
        <v>16</v>
      </c>
      <c r="F12" t="s">
        <v>19</v>
      </c>
    </row>
    <row r="13" spans="1:9" x14ac:dyDescent="0.25">
      <c r="A13">
        <v>11</v>
      </c>
      <c r="B13" t="s">
        <v>127</v>
      </c>
      <c r="C13" t="s">
        <v>128</v>
      </c>
      <c r="D13" t="s">
        <v>129</v>
      </c>
      <c r="E13" t="s">
        <v>16</v>
      </c>
      <c r="F13" t="s">
        <v>19</v>
      </c>
      <c r="I13" t="s">
        <v>130</v>
      </c>
    </row>
    <row r="14" spans="1:9" x14ac:dyDescent="0.25">
      <c r="A14">
        <v>12</v>
      </c>
    </row>
    <row r="15" spans="1:9" x14ac:dyDescent="0.25">
      <c r="A15">
        <v>13</v>
      </c>
    </row>
    <row r="16" spans="1: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23F9-C571-47E3-8E22-7FFEE8A731B5}">
  <dimension ref="A2:M52"/>
  <sheetViews>
    <sheetView tabSelected="1" workbookViewId="0">
      <selection activeCell="A15" sqref="A15:XFD15"/>
    </sheetView>
  </sheetViews>
  <sheetFormatPr defaultRowHeight="15" x14ac:dyDescent="0.25"/>
  <cols>
    <col min="2" max="2" width="10.5703125" customWidth="1"/>
    <col min="3" max="3" width="16.7109375" customWidth="1"/>
    <col min="4" max="4" width="13" customWidth="1"/>
    <col min="7" max="7" width="9.140625" style="1"/>
    <col min="8" max="8" width="13" style="1" customWidth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4" t="s">
        <v>5</v>
      </c>
      <c r="I2" s="3" t="s">
        <v>11</v>
      </c>
    </row>
    <row r="3" spans="1:9" x14ac:dyDescent="0.25">
      <c r="A3">
        <v>1</v>
      </c>
      <c r="B3" t="s">
        <v>45</v>
      </c>
      <c r="C3" t="s">
        <v>46</v>
      </c>
      <c r="D3" t="s">
        <v>47</v>
      </c>
      <c r="E3" t="s">
        <v>16</v>
      </c>
      <c r="F3" t="s">
        <v>19</v>
      </c>
    </row>
    <row r="4" spans="1:9" x14ac:dyDescent="0.25">
      <c r="A4">
        <v>2</v>
      </c>
      <c r="B4" t="s">
        <v>48</v>
      </c>
      <c r="C4" t="s">
        <v>49</v>
      </c>
      <c r="D4" t="s">
        <v>50</v>
      </c>
      <c r="E4" t="s">
        <v>8</v>
      </c>
      <c r="F4" t="s">
        <v>19</v>
      </c>
    </row>
    <row r="5" spans="1:9" x14ac:dyDescent="0.25">
      <c r="A5">
        <v>3</v>
      </c>
      <c r="B5" t="s">
        <v>51</v>
      </c>
      <c r="C5" t="s">
        <v>52</v>
      </c>
      <c r="D5" t="s">
        <v>53</v>
      </c>
      <c r="E5" t="s">
        <v>16</v>
      </c>
      <c r="F5" t="s">
        <v>19</v>
      </c>
    </row>
    <row r="6" spans="1:9" x14ac:dyDescent="0.25">
      <c r="A6">
        <v>4</v>
      </c>
      <c r="B6" t="s">
        <v>54</v>
      </c>
      <c r="C6" t="s">
        <v>302</v>
      </c>
      <c r="D6" t="s">
        <v>55</v>
      </c>
      <c r="E6" t="s">
        <v>16</v>
      </c>
      <c r="F6" t="s">
        <v>7</v>
      </c>
      <c r="G6" s="1" t="s">
        <v>121</v>
      </c>
      <c r="I6" t="s">
        <v>56</v>
      </c>
    </row>
    <row r="7" spans="1:9" x14ac:dyDescent="0.25">
      <c r="A7">
        <v>5</v>
      </c>
      <c r="B7" t="s">
        <v>57</v>
      </c>
      <c r="C7" t="s">
        <v>58</v>
      </c>
      <c r="D7" t="s">
        <v>59</v>
      </c>
      <c r="E7" t="s">
        <v>16</v>
      </c>
      <c r="F7" t="s">
        <v>7</v>
      </c>
      <c r="H7" s="1" t="s">
        <v>119</v>
      </c>
      <c r="I7" t="s">
        <v>56</v>
      </c>
    </row>
    <row r="8" spans="1:9" x14ac:dyDescent="0.25">
      <c r="A8">
        <v>6</v>
      </c>
      <c r="B8" t="s">
        <v>60</v>
      </c>
      <c r="C8" t="s">
        <v>61</v>
      </c>
      <c r="D8" t="s">
        <v>62</v>
      </c>
      <c r="E8" t="s">
        <v>16</v>
      </c>
      <c r="F8" t="s">
        <v>19</v>
      </c>
    </row>
    <row r="9" spans="1:9" x14ac:dyDescent="0.25">
      <c r="A9">
        <v>7</v>
      </c>
      <c r="B9" s="7" t="s">
        <v>63</v>
      </c>
      <c r="D9" t="s">
        <v>64</v>
      </c>
      <c r="E9" t="s">
        <v>8</v>
      </c>
      <c r="F9" t="s">
        <v>7</v>
      </c>
      <c r="I9" t="s">
        <v>65</v>
      </c>
    </row>
    <row r="10" spans="1:9" x14ac:dyDescent="0.25">
      <c r="A10">
        <v>8</v>
      </c>
      <c r="B10" t="s">
        <v>66</v>
      </c>
      <c r="C10" t="s">
        <v>67</v>
      </c>
      <c r="D10" t="s">
        <v>68</v>
      </c>
      <c r="E10" t="s">
        <v>16</v>
      </c>
      <c r="F10" t="s">
        <v>19</v>
      </c>
    </row>
    <row r="11" spans="1:9" x14ac:dyDescent="0.25">
      <c r="A11">
        <v>9</v>
      </c>
      <c r="B11" s="7" t="s">
        <v>69</v>
      </c>
      <c r="D11" t="s">
        <v>70</v>
      </c>
      <c r="E11" t="s">
        <v>8</v>
      </c>
      <c r="F11" t="s">
        <v>7</v>
      </c>
      <c r="I11" t="s">
        <v>65</v>
      </c>
    </row>
    <row r="12" spans="1:9" x14ac:dyDescent="0.25">
      <c r="A12">
        <v>10</v>
      </c>
      <c r="B12" s="2" t="s">
        <v>71</v>
      </c>
      <c r="D12" t="s">
        <v>72</v>
      </c>
      <c r="E12" t="s">
        <v>8</v>
      </c>
      <c r="F12" t="s">
        <v>7</v>
      </c>
      <c r="I12" s="5" t="s">
        <v>73</v>
      </c>
    </row>
    <row r="13" spans="1:9" x14ac:dyDescent="0.25">
      <c r="A13">
        <v>11</v>
      </c>
      <c r="B13" t="s">
        <v>76</v>
      </c>
      <c r="C13" t="s">
        <v>74</v>
      </c>
      <c r="D13" t="s">
        <v>75</v>
      </c>
      <c r="E13" t="s">
        <v>16</v>
      </c>
      <c r="F13" t="s">
        <v>19</v>
      </c>
    </row>
    <row r="14" spans="1:9" x14ac:dyDescent="0.25">
      <c r="A14">
        <v>12</v>
      </c>
      <c r="B14" t="s">
        <v>77</v>
      </c>
      <c r="C14" t="s">
        <v>78</v>
      </c>
      <c r="D14" t="s">
        <v>79</v>
      </c>
      <c r="E14" t="s">
        <v>8</v>
      </c>
      <c r="F14" t="s">
        <v>19</v>
      </c>
    </row>
    <row r="15" spans="1:9" x14ac:dyDescent="0.25">
      <c r="A15">
        <v>13</v>
      </c>
      <c r="B15" t="s">
        <v>80</v>
      </c>
      <c r="C15" t="s">
        <v>81</v>
      </c>
      <c r="D15" t="s">
        <v>55</v>
      </c>
      <c r="E15" t="s">
        <v>8</v>
      </c>
      <c r="F15" t="s">
        <v>19</v>
      </c>
      <c r="I15" t="s">
        <v>82</v>
      </c>
    </row>
    <row r="16" spans="1:9" x14ac:dyDescent="0.25">
      <c r="A16">
        <v>14</v>
      </c>
      <c r="B16" s="2" t="s">
        <v>83</v>
      </c>
      <c r="D16" t="s">
        <v>84</v>
      </c>
      <c r="E16" t="s">
        <v>8</v>
      </c>
      <c r="F16" t="s">
        <v>7</v>
      </c>
      <c r="I16" t="s">
        <v>85</v>
      </c>
    </row>
    <row r="17" spans="1:13" x14ac:dyDescent="0.25">
      <c r="A17">
        <v>15</v>
      </c>
      <c r="B17" t="s">
        <v>86</v>
      </c>
      <c r="C17" t="s">
        <v>87</v>
      </c>
      <c r="D17" t="s">
        <v>88</v>
      </c>
      <c r="E17" t="s">
        <v>16</v>
      </c>
      <c r="F17" t="s">
        <v>19</v>
      </c>
    </row>
    <row r="18" spans="1:13" x14ac:dyDescent="0.25">
      <c r="A18">
        <v>16</v>
      </c>
      <c r="B18" s="7" t="s">
        <v>89</v>
      </c>
      <c r="D18" t="s">
        <v>90</v>
      </c>
      <c r="E18" t="s">
        <v>8</v>
      </c>
      <c r="F18" t="s">
        <v>7</v>
      </c>
      <c r="I18" t="s">
        <v>91</v>
      </c>
    </row>
    <row r="19" spans="1:13" x14ac:dyDescent="0.25">
      <c r="A19">
        <v>17</v>
      </c>
      <c r="B19" t="s">
        <v>92</v>
      </c>
      <c r="C19" t="s">
        <v>93</v>
      </c>
      <c r="D19" t="s">
        <v>94</v>
      </c>
      <c r="E19" t="s">
        <v>8</v>
      </c>
      <c r="F19" t="s">
        <v>19</v>
      </c>
    </row>
    <row r="20" spans="1:13" x14ac:dyDescent="0.25">
      <c r="A20">
        <v>18</v>
      </c>
      <c r="B20" s="8" t="s">
        <v>95</v>
      </c>
      <c r="C20" t="s">
        <v>269</v>
      </c>
      <c r="D20" s="11" t="s">
        <v>268</v>
      </c>
      <c r="E20" t="s">
        <v>16</v>
      </c>
      <c r="F20" t="s">
        <v>7</v>
      </c>
      <c r="I20" t="s">
        <v>270</v>
      </c>
    </row>
    <row r="21" spans="1:13" x14ac:dyDescent="0.25">
      <c r="A21">
        <v>19</v>
      </c>
      <c r="B21" s="12" t="s">
        <v>271</v>
      </c>
      <c r="D21" s="11" t="s">
        <v>272</v>
      </c>
      <c r="E21" t="s">
        <v>8</v>
      </c>
      <c r="F21" t="s">
        <v>7</v>
      </c>
      <c r="I21" s="13" t="s">
        <v>273</v>
      </c>
      <c r="J21" s="13"/>
      <c r="K21" s="13"/>
      <c r="L21" s="13"/>
      <c r="M21" s="13"/>
    </row>
    <row r="22" spans="1:13" x14ac:dyDescent="0.25">
      <c r="A22">
        <v>20</v>
      </c>
      <c r="B22" s="7" t="s">
        <v>96</v>
      </c>
      <c r="D22" t="s">
        <v>97</v>
      </c>
      <c r="E22" t="s">
        <v>16</v>
      </c>
      <c r="F22" t="s">
        <v>7</v>
      </c>
      <c r="I22" t="s">
        <v>98</v>
      </c>
    </row>
    <row r="23" spans="1:13" x14ac:dyDescent="0.25">
      <c r="A23">
        <v>21</v>
      </c>
      <c r="B23" t="s">
        <v>99</v>
      </c>
      <c r="C23" t="s">
        <v>100</v>
      </c>
      <c r="D23" t="s">
        <v>101</v>
      </c>
      <c r="E23" t="s">
        <v>16</v>
      </c>
      <c r="F23" t="s">
        <v>19</v>
      </c>
      <c r="I23" t="s">
        <v>102</v>
      </c>
    </row>
    <row r="24" spans="1:13" x14ac:dyDescent="0.25">
      <c r="A24">
        <v>22</v>
      </c>
      <c r="B24" t="s">
        <v>131</v>
      </c>
      <c r="C24" t="s">
        <v>87</v>
      </c>
      <c r="D24" t="s">
        <v>132</v>
      </c>
      <c r="E24" t="s">
        <v>8</v>
      </c>
      <c r="F24" t="s">
        <v>19</v>
      </c>
      <c r="I24" t="s">
        <v>102</v>
      </c>
    </row>
    <row r="25" spans="1:13" x14ac:dyDescent="0.25">
      <c r="A25">
        <v>23</v>
      </c>
      <c r="B25" t="s">
        <v>103</v>
      </c>
      <c r="C25" t="s">
        <v>104</v>
      </c>
      <c r="D25" t="s">
        <v>105</v>
      </c>
      <c r="E25" t="s">
        <v>16</v>
      </c>
      <c r="F25" t="s">
        <v>19</v>
      </c>
      <c r="I25" t="s">
        <v>102</v>
      </c>
    </row>
    <row r="26" spans="1:13" x14ac:dyDescent="0.25">
      <c r="A26">
        <v>24</v>
      </c>
      <c r="B26" t="s">
        <v>106</v>
      </c>
      <c r="C26" t="s">
        <v>301</v>
      </c>
      <c r="D26" t="s">
        <v>107</v>
      </c>
      <c r="E26" t="s">
        <v>8</v>
      </c>
      <c r="F26" t="s">
        <v>7</v>
      </c>
      <c r="I26" t="s">
        <v>108</v>
      </c>
    </row>
    <row r="27" spans="1:13" x14ac:dyDescent="0.25">
      <c r="A27">
        <v>25</v>
      </c>
      <c r="B27" s="13" t="s">
        <v>294</v>
      </c>
      <c r="C27" t="s">
        <v>300</v>
      </c>
      <c r="D27" s="11" t="s">
        <v>295</v>
      </c>
      <c r="E27" t="s">
        <v>8</v>
      </c>
      <c r="F27" s="13" t="s">
        <v>19</v>
      </c>
      <c r="I27" t="s">
        <v>109</v>
      </c>
    </row>
    <row r="28" spans="1:13" x14ac:dyDescent="0.25">
      <c r="A28">
        <v>26</v>
      </c>
      <c r="B28" t="s">
        <v>110</v>
      </c>
      <c r="C28" t="s">
        <v>111</v>
      </c>
      <c r="D28" t="s">
        <v>112</v>
      </c>
      <c r="E28" t="s">
        <v>8</v>
      </c>
      <c r="F28" t="s">
        <v>19</v>
      </c>
    </row>
    <row r="29" spans="1:13" x14ac:dyDescent="0.25">
      <c r="A29">
        <v>27</v>
      </c>
      <c r="B29" t="s">
        <v>113</v>
      </c>
      <c r="C29" t="s">
        <v>114</v>
      </c>
      <c r="D29" t="s">
        <v>115</v>
      </c>
      <c r="E29" t="s">
        <v>8</v>
      </c>
      <c r="F29" t="s">
        <v>7</v>
      </c>
      <c r="G29" s="1" t="s">
        <v>116</v>
      </c>
      <c r="H29" s="1" t="s">
        <v>118</v>
      </c>
      <c r="I29" t="s">
        <v>117</v>
      </c>
    </row>
    <row r="30" spans="1:13" x14ac:dyDescent="0.25">
      <c r="A30">
        <v>28</v>
      </c>
      <c r="B30" t="s">
        <v>120</v>
      </c>
      <c r="C30" t="s">
        <v>28</v>
      </c>
      <c r="D30" t="s">
        <v>124</v>
      </c>
      <c r="E30" t="s">
        <v>8</v>
      </c>
      <c r="F30" t="s">
        <v>7</v>
      </c>
      <c r="I30" t="s">
        <v>125</v>
      </c>
    </row>
    <row r="31" spans="1:13" x14ac:dyDescent="0.25">
      <c r="A31">
        <v>29</v>
      </c>
      <c r="B31" t="s">
        <v>122</v>
      </c>
      <c r="C31" t="s">
        <v>123</v>
      </c>
      <c r="D31" t="s">
        <v>126</v>
      </c>
      <c r="E31" t="s">
        <v>8</v>
      </c>
      <c r="F31" t="s">
        <v>19</v>
      </c>
    </row>
    <row r="32" spans="1:13" x14ac:dyDescent="0.25">
      <c r="A32">
        <v>30</v>
      </c>
      <c r="B32" t="s">
        <v>296</v>
      </c>
      <c r="C32" t="s">
        <v>297</v>
      </c>
      <c r="D32" t="s">
        <v>298</v>
      </c>
      <c r="E32" t="s">
        <v>16</v>
      </c>
      <c r="F32" t="s">
        <v>7</v>
      </c>
      <c r="I32" t="s">
        <v>299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6A87-F02F-4E3E-87B7-C7AD6AEB9E13}">
  <dimension ref="A2:I21"/>
  <sheetViews>
    <sheetView workbookViewId="0">
      <selection activeCell="I11" sqref="I11"/>
    </sheetView>
  </sheetViews>
  <sheetFormatPr defaultRowHeight="15" x14ac:dyDescent="0.25"/>
  <cols>
    <col min="2" max="2" width="11.28515625" customWidth="1"/>
    <col min="3" max="3" width="13.5703125" customWidth="1"/>
    <col min="4" max="4" width="13.7109375" customWidth="1"/>
    <col min="7" max="7" width="9.140625" style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4" t="s">
        <v>5</v>
      </c>
      <c r="I2" s="3" t="s">
        <v>11</v>
      </c>
    </row>
    <row r="3" spans="1:9" x14ac:dyDescent="0.25">
      <c r="A3">
        <v>1</v>
      </c>
      <c r="B3" s="7" t="s">
        <v>141</v>
      </c>
      <c r="C3" s="2" t="s">
        <v>142</v>
      </c>
      <c r="D3" t="s">
        <v>143</v>
      </c>
      <c r="E3" t="s">
        <v>144</v>
      </c>
      <c r="F3" t="s">
        <v>7</v>
      </c>
      <c r="G3" s="1" t="s">
        <v>150</v>
      </c>
      <c r="I3" t="s">
        <v>145</v>
      </c>
    </row>
    <row r="4" spans="1:9" x14ac:dyDescent="0.25">
      <c r="A4">
        <v>2</v>
      </c>
      <c r="B4" t="s">
        <v>147</v>
      </c>
      <c r="C4" t="s">
        <v>148</v>
      </c>
      <c r="D4" t="s">
        <v>146</v>
      </c>
      <c r="E4" t="s">
        <v>149</v>
      </c>
      <c r="F4" t="s">
        <v>7</v>
      </c>
      <c r="G4" s="1" t="s">
        <v>151</v>
      </c>
      <c r="I4" t="s">
        <v>152</v>
      </c>
    </row>
    <row r="5" spans="1:9" x14ac:dyDescent="0.25">
      <c r="A5">
        <v>3</v>
      </c>
      <c r="B5" t="s">
        <v>153</v>
      </c>
      <c r="C5" t="s">
        <v>154</v>
      </c>
      <c r="D5" t="s">
        <v>155</v>
      </c>
      <c r="E5" t="s">
        <v>149</v>
      </c>
      <c r="F5" t="s">
        <v>19</v>
      </c>
    </row>
    <row r="6" spans="1:9" x14ac:dyDescent="0.25">
      <c r="A6">
        <v>4</v>
      </c>
      <c r="B6" s="2" t="s">
        <v>156</v>
      </c>
      <c r="D6" t="s">
        <v>157</v>
      </c>
      <c r="E6" t="s">
        <v>144</v>
      </c>
      <c r="F6" t="s">
        <v>7</v>
      </c>
    </row>
    <row r="7" spans="1:9" x14ac:dyDescent="0.25">
      <c r="A7">
        <v>5</v>
      </c>
      <c r="B7" s="5" t="s">
        <v>158</v>
      </c>
      <c r="D7" t="s">
        <v>75</v>
      </c>
      <c r="E7" t="s">
        <v>144</v>
      </c>
      <c r="F7" t="s">
        <v>7</v>
      </c>
      <c r="I7" t="s">
        <v>159</v>
      </c>
    </row>
    <row r="8" spans="1:9" x14ac:dyDescent="0.25">
      <c r="A8">
        <v>6</v>
      </c>
      <c r="B8" s="5" t="s">
        <v>160</v>
      </c>
      <c r="C8" s="2" t="s">
        <v>161</v>
      </c>
      <c r="D8" t="s">
        <v>162</v>
      </c>
      <c r="E8" t="s">
        <v>144</v>
      </c>
      <c r="F8" t="s">
        <v>7</v>
      </c>
      <c r="I8" t="s">
        <v>163</v>
      </c>
    </row>
    <row r="9" spans="1:9" x14ac:dyDescent="0.25">
      <c r="A9">
        <v>7</v>
      </c>
      <c r="B9" s="2" t="s">
        <v>167</v>
      </c>
      <c r="D9" t="s">
        <v>165</v>
      </c>
      <c r="E9" t="s">
        <v>144</v>
      </c>
      <c r="F9" t="s">
        <v>7</v>
      </c>
      <c r="G9" s="1" t="s">
        <v>116</v>
      </c>
      <c r="I9" t="s">
        <v>164</v>
      </c>
    </row>
    <row r="10" spans="1:9" x14ac:dyDescent="0.25">
      <c r="A10">
        <v>8</v>
      </c>
      <c r="B10" s="2" t="s">
        <v>168</v>
      </c>
      <c r="E10" t="s">
        <v>149</v>
      </c>
      <c r="F10" t="s">
        <v>7</v>
      </c>
      <c r="I10" t="s">
        <v>166</v>
      </c>
    </row>
    <row r="11" spans="1:9" x14ac:dyDescent="0.25">
      <c r="A11">
        <v>9</v>
      </c>
      <c r="B11" s="15" t="s">
        <v>278</v>
      </c>
      <c r="D11" t="s">
        <v>279</v>
      </c>
      <c r="E11" t="s">
        <v>149</v>
      </c>
      <c r="F11" t="s">
        <v>7</v>
      </c>
      <c r="I11" t="s">
        <v>280</v>
      </c>
    </row>
    <row r="12" spans="1:9" x14ac:dyDescent="0.25">
      <c r="A12">
        <v>10</v>
      </c>
      <c r="B12" s="15" t="s">
        <v>274</v>
      </c>
      <c r="C12" t="s">
        <v>281</v>
      </c>
      <c r="D12" t="s">
        <v>275</v>
      </c>
      <c r="E12" t="s">
        <v>149</v>
      </c>
      <c r="F12" t="s">
        <v>7</v>
      </c>
      <c r="G12" s="1" t="s">
        <v>277</v>
      </c>
      <c r="I12" t="s">
        <v>276</v>
      </c>
    </row>
    <row r="13" spans="1:9" x14ac:dyDescent="0.25">
      <c r="A13">
        <v>11</v>
      </c>
    </row>
    <row r="14" spans="1:9" x14ac:dyDescent="0.25">
      <c r="A14">
        <v>12</v>
      </c>
    </row>
    <row r="15" spans="1:9" x14ac:dyDescent="0.25">
      <c r="A15">
        <v>13</v>
      </c>
    </row>
    <row r="16" spans="1:9" x14ac:dyDescent="0.25">
      <c r="A16">
        <v>14</v>
      </c>
    </row>
    <row r="17" spans="1:2" x14ac:dyDescent="0.25">
      <c r="A17">
        <v>15</v>
      </c>
    </row>
    <row r="18" spans="1:2" x14ac:dyDescent="0.25">
      <c r="A18">
        <v>16</v>
      </c>
    </row>
    <row r="21" spans="1:2" x14ac:dyDescent="0.25">
      <c r="B2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44AE-CC20-46B2-AE9C-432EA98E1892}">
  <dimension ref="A2:I7"/>
  <sheetViews>
    <sheetView workbookViewId="0">
      <selection activeCell="E8" sqref="E8"/>
    </sheetView>
  </sheetViews>
  <sheetFormatPr defaultRowHeight="15" x14ac:dyDescent="0.25"/>
  <cols>
    <col min="2" max="2" width="13.5703125" customWidth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4" t="s">
        <v>5</v>
      </c>
      <c r="I2" s="3" t="s">
        <v>11</v>
      </c>
    </row>
    <row r="3" spans="1:9" x14ac:dyDescent="0.25">
      <c r="A3">
        <v>1</v>
      </c>
      <c r="B3" t="s">
        <v>133</v>
      </c>
      <c r="C3" t="s">
        <v>134</v>
      </c>
      <c r="D3" t="s">
        <v>135</v>
      </c>
      <c r="E3" t="s">
        <v>144</v>
      </c>
      <c r="F3" t="s">
        <v>19</v>
      </c>
      <c r="I3" t="s">
        <v>136</v>
      </c>
    </row>
    <row r="4" spans="1:9" x14ac:dyDescent="0.25">
      <c r="A4">
        <v>2</v>
      </c>
      <c r="B4" t="s">
        <v>137</v>
      </c>
      <c r="C4" t="s">
        <v>138</v>
      </c>
      <c r="D4" t="s">
        <v>139</v>
      </c>
      <c r="E4" t="s">
        <v>144</v>
      </c>
      <c r="F4" t="s">
        <v>7</v>
      </c>
      <c r="G4" t="s">
        <v>116</v>
      </c>
      <c r="I4" t="s">
        <v>140</v>
      </c>
    </row>
    <row r="5" spans="1:9" x14ac:dyDescent="0.25">
      <c r="A5">
        <v>3</v>
      </c>
      <c r="B5" t="s">
        <v>235</v>
      </c>
      <c r="C5" t="s">
        <v>233</v>
      </c>
      <c r="D5" t="s">
        <v>236</v>
      </c>
      <c r="E5" t="s">
        <v>144</v>
      </c>
      <c r="F5" t="s">
        <v>19</v>
      </c>
      <c r="I5" t="s">
        <v>237</v>
      </c>
    </row>
    <row r="6" spans="1:9" x14ac:dyDescent="0.25">
      <c r="A6">
        <v>4</v>
      </c>
    </row>
    <row r="7" spans="1:9" x14ac:dyDescent="0.25">
      <c r="A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B5CE-68C4-4356-8078-5168BFEABE8B}">
  <dimension ref="A2:I52"/>
  <sheetViews>
    <sheetView workbookViewId="0">
      <selection activeCell="B21" sqref="B21"/>
    </sheetView>
  </sheetViews>
  <sheetFormatPr defaultRowHeight="15" x14ac:dyDescent="0.25"/>
  <cols>
    <col min="2" max="2" width="14.42578125" bestFit="1" customWidth="1"/>
    <col min="4" max="4" width="16.28515625" customWidth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4" t="s">
        <v>5</v>
      </c>
      <c r="I2" s="3" t="s">
        <v>11</v>
      </c>
    </row>
    <row r="3" spans="1:9" x14ac:dyDescent="0.25">
      <c r="A3">
        <v>1</v>
      </c>
      <c r="B3" t="s">
        <v>169</v>
      </c>
      <c r="C3" t="s">
        <v>170</v>
      </c>
      <c r="D3" t="s">
        <v>171</v>
      </c>
      <c r="F3" t="s">
        <v>7</v>
      </c>
      <c r="I3" t="s">
        <v>172</v>
      </c>
    </row>
    <row r="4" spans="1:9" x14ac:dyDescent="0.25">
      <c r="A4">
        <v>2</v>
      </c>
      <c r="B4" s="7" t="s">
        <v>173</v>
      </c>
      <c r="D4" t="s">
        <v>174</v>
      </c>
      <c r="F4" t="s">
        <v>7</v>
      </c>
      <c r="I4" t="s">
        <v>175</v>
      </c>
    </row>
    <row r="5" spans="1:9" x14ac:dyDescent="0.25">
      <c r="A5">
        <v>3</v>
      </c>
      <c r="B5" t="s">
        <v>176</v>
      </c>
      <c r="C5" t="s">
        <v>177</v>
      </c>
      <c r="D5" t="s">
        <v>178</v>
      </c>
      <c r="F5" t="s">
        <v>7</v>
      </c>
      <c r="G5" t="s">
        <v>116</v>
      </c>
      <c r="I5" t="s">
        <v>179</v>
      </c>
    </row>
    <row r="6" spans="1:9" x14ac:dyDescent="0.25">
      <c r="A6">
        <v>4</v>
      </c>
      <c r="B6" s="6" t="s">
        <v>239</v>
      </c>
      <c r="C6" t="s">
        <v>233</v>
      </c>
      <c r="D6" t="s">
        <v>240</v>
      </c>
      <c r="F6" t="s">
        <v>19</v>
      </c>
    </row>
    <row r="7" spans="1:9" x14ac:dyDescent="0.25">
      <c r="A7">
        <v>5</v>
      </c>
      <c r="B7" t="s">
        <v>180</v>
      </c>
      <c r="C7" t="s">
        <v>183</v>
      </c>
      <c r="D7" t="s">
        <v>181</v>
      </c>
      <c r="F7" t="s">
        <v>19</v>
      </c>
      <c r="I7" t="s">
        <v>172</v>
      </c>
    </row>
    <row r="8" spans="1:9" x14ac:dyDescent="0.25">
      <c r="A8">
        <v>6</v>
      </c>
      <c r="B8" t="s">
        <v>182</v>
      </c>
      <c r="C8" t="s">
        <v>184</v>
      </c>
      <c r="D8" t="s">
        <v>185</v>
      </c>
      <c r="F8" t="s">
        <v>19</v>
      </c>
      <c r="I8" t="s">
        <v>186</v>
      </c>
    </row>
    <row r="9" spans="1:9" x14ac:dyDescent="0.25">
      <c r="A9">
        <v>7</v>
      </c>
      <c r="B9" t="s">
        <v>187</v>
      </c>
      <c r="C9" t="s">
        <v>188</v>
      </c>
      <c r="D9" t="s">
        <v>189</v>
      </c>
      <c r="F9" t="s">
        <v>19</v>
      </c>
      <c r="G9" t="s">
        <v>190</v>
      </c>
      <c r="I9" t="s">
        <v>191</v>
      </c>
    </row>
    <row r="10" spans="1:9" x14ac:dyDescent="0.25">
      <c r="A10">
        <v>8</v>
      </c>
      <c r="B10" t="s">
        <v>192</v>
      </c>
      <c r="C10" t="s">
        <v>138</v>
      </c>
      <c r="D10" t="s">
        <v>193</v>
      </c>
      <c r="F10" t="s">
        <v>19</v>
      </c>
    </row>
    <row r="11" spans="1:9" x14ac:dyDescent="0.25">
      <c r="A11">
        <v>9</v>
      </c>
      <c r="B11" t="s">
        <v>194</v>
      </c>
      <c r="C11" t="s">
        <v>195</v>
      </c>
      <c r="D11" t="s">
        <v>196</v>
      </c>
      <c r="F11" t="s">
        <v>7</v>
      </c>
      <c r="I11" t="s">
        <v>32</v>
      </c>
    </row>
    <row r="12" spans="1:9" x14ac:dyDescent="0.25">
      <c r="A12">
        <v>10</v>
      </c>
      <c r="B12" t="s">
        <v>197</v>
      </c>
      <c r="C12" t="s">
        <v>198</v>
      </c>
      <c r="D12" t="s">
        <v>199</v>
      </c>
      <c r="F12" t="s">
        <v>19</v>
      </c>
      <c r="I12" t="s">
        <v>200</v>
      </c>
    </row>
    <row r="13" spans="1:9" x14ac:dyDescent="0.25">
      <c r="A13">
        <v>11</v>
      </c>
      <c r="B13" s="2" t="s">
        <v>201</v>
      </c>
      <c r="D13" t="s">
        <v>202</v>
      </c>
      <c r="F13" t="s">
        <v>7</v>
      </c>
      <c r="I13" t="s">
        <v>211</v>
      </c>
    </row>
    <row r="14" spans="1:9" x14ac:dyDescent="0.25">
      <c r="A14">
        <v>12</v>
      </c>
      <c r="B14" s="2" t="s">
        <v>203</v>
      </c>
      <c r="D14" t="s">
        <v>204</v>
      </c>
      <c r="F14" t="s">
        <v>7</v>
      </c>
      <c r="I14" t="s">
        <v>205</v>
      </c>
    </row>
    <row r="15" spans="1:9" x14ac:dyDescent="0.25">
      <c r="A15">
        <v>13</v>
      </c>
      <c r="B15" s="2" t="s">
        <v>206</v>
      </c>
      <c r="F15" t="s">
        <v>7</v>
      </c>
      <c r="I15" t="s">
        <v>207</v>
      </c>
    </row>
    <row r="16" spans="1:9" x14ac:dyDescent="0.25">
      <c r="A16">
        <v>14</v>
      </c>
      <c r="B16" s="2" t="s">
        <v>208</v>
      </c>
      <c r="F16" t="s">
        <v>7</v>
      </c>
      <c r="I16" t="s">
        <v>212</v>
      </c>
    </row>
    <row r="17" spans="1:9" x14ac:dyDescent="0.25">
      <c r="A17">
        <v>15</v>
      </c>
      <c r="B17" s="2" t="s">
        <v>209</v>
      </c>
      <c r="F17" t="s">
        <v>7</v>
      </c>
      <c r="I17" t="s">
        <v>212</v>
      </c>
    </row>
    <row r="18" spans="1:9" x14ac:dyDescent="0.25">
      <c r="A18">
        <v>16</v>
      </c>
      <c r="B18" s="2" t="s">
        <v>210</v>
      </c>
      <c r="F18" t="s">
        <v>7</v>
      </c>
      <c r="I18" t="s">
        <v>238</v>
      </c>
    </row>
    <row r="19" spans="1:9" x14ac:dyDescent="0.25">
      <c r="A19">
        <v>17</v>
      </c>
    </row>
    <row r="20" spans="1:9" x14ac:dyDescent="0.25">
      <c r="A20">
        <v>18</v>
      </c>
    </row>
    <row r="21" spans="1:9" x14ac:dyDescent="0.25">
      <c r="A21">
        <v>19</v>
      </c>
    </row>
    <row r="22" spans="1:9" x14ac:dyDescent="0.25">
      <c r="A22">
        <v>20</v>
      </c>
    </row>
    <row r="23" spans="1:9" x14ac:dyDescent="0.25">
      <c r="A23">
        <v>21</v>
      </c>
    </row>
    <row r="24" spans="1:9" x14ac:dyDescent="0.25">
      <c r="A24">
        <v>22</v>
      </c>
    </row>
    <row r="25" spans="1:9" x14ac:dyDescent="0.25">
      <c r="A25">
        <v>23</v>
      </c>
    </row>
    <row r="26" spans="1:9" x14ac:dyDescent="0.25">
      <c r="A26">
        <v>24</v>
      </c>
    </row>
    <row r="27" spans="1:9" x14ac:dyDescent="0.25">
      <c r="A27">
        <v>25</v>
      </c>
    </row>
    <row r="28" spans="1:9" x14ac:dyDescent="0.25">
      <c r="A28">
        <v>26</v>
      </c>
    </row>
    <row r="29" spans="1:9" x14ac:dyDescent="0.25">
      <c r="A29">
        <v>27</v>
      </c>
    </row>
    <row r="30" spans="1:9" x14ac:dyDescent="0.25">
      <c r="A30">
        <v>28</v>
      </c>
    </row>
    <row r="31" spans="1:9" x14ac:dyDescent="0.25">
      <c r="A31">
        <v>29</v>
      </c>
    </row>
    <row r="32" spans="1:9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1A2D-6D66-4129-8296-C8CF598B2CA7}">
  <dimension ref="A2:I29"/>
  <sheetViews>
    <sheetView workbookViewId="0">
      <selection activeCell="D24" sqref="D24"/>
    </sheetView>
  </sheetViews>
  <sheetFormatPr defaultRowHeight="15" x14ac:dyDescent="0.25"/>
  <cols>
    <col min="2" max="2" width="11.42578125" customWidth="1"/>
    <col min="4" max="4" width="19.140625" customWidth="1"/>
    <col min="5" max="5" width="9" customWidth="1"/>
    <col min="7" max="7" width="9.140625" style="1"/>
  </cols>
  <sheetData>
    <row r="2" spans="1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12</v>
      </c>
      <c r="H2" s="4" t="s">
        <v>5</v>
      </c>
      <c r="I2" s="3" t="s">
        <v>11</v>
      </c>
    </row>
    <row r="3" spans="1:9" x14ac:dyDescent="0.25">
      <c r="A3">
        <f>ROW(A1)</f>
        <v>1</v>
      </c>
      <c r="B3" t="s">
        <v>213</v>
      </c>
      <c r="C3" t="s">
        <v>214</v>
      </c>
      <c r="D3" t="s">
        <v>215</v>
      </c>
      <c r="E3" t="s">
        <v>149</v>
      </c>
      <c r="F3" t="s">
        <v>19</v>
      </c>
    </row>
    <row r="4" spans="1:9" x14ac:dyDescent="0.25">
      <c r="A4">
        <f t="shared" ref="A4:A29" si="0">ROW(A2)</f>
        <v>2</v>
      </c>
      <c r="B4" t="s">
        <v>216</v>
      </c>
      <c r="C4" t="s">
        <v>67</v>
      </c>
      <c r="D4" t="s">
        <v>217</v>
      </c>
      <c r="E4" t="s">
        <v>149</v>
      </c>
      <c r="F4" t="s">
        <v>19</v>
      </c>
    </row>
    <row r="5" spans="1:9" x14ac:dyDescent="0.25">
      <c r="A5">
        <f t="shared" si="0"/>
        <v>3</v>
      </c>
      <c r="B5" t="s">
        <v>218</v>
      </c>
      <c r="C5" s="14" t="s">
        <v>81</v>
      </c>
      <c r="D5" t="s">
        <v>75</v>
      </c>
      <c r="E5" t="s">
        <v>149</v>
      </c>
      <c r="F5" t="s">
        <v>7</v>
      </c>
      <c r="G5" s="1" t="s">
        <v>220</v>
      </c>
      <c r="I5" t="s">
        <v>219</v>
      </c>
    </row>
    <row r="6" spans="1:9" x14ac:dyDescent="0.25">
      <c r="A6">
        <f t="shared" si="0"/>
        <v>4</v>
      </c>
      <c r="B6" t="s">
        <v>221</v>
      </c>
      <c r="C6" t="s">
        <v>222</v>
      </c>
      <c r="D6" t="s">
        <v>223</v>
      </c>
      <c r="E6" t="s">
        <v>149</v>
      </c>
      <c r="F6" t="s">
        <v>19</v>
      </c>
      <c r="I6" t="s">
        <v>172</v>
      </c>
    </row>
    <row r="7" spans="1:9" x14ac:dyDescent="0.25">
      <c r="A7">
        <f t="shared" si="0"/>
        <v>5</v>
      </c>
      <c r="B7" t="s">
        <v>224</v>
      </c>
      <c r="C7" t="s">
        <v>225</v>
      </c>
      <c r="D7" t="s">
        <v>204</v>
      </c>
      <c r="E7" t="s">
        <v>149</v>
      </c>
      <c r="F7" t="s">
        <v>19</v>
      </c>
    </row>
    <row r="8" spans="1:9" x14ac:dyDescent="0.25">
      <c r="A8">
        <f t="shared" si="0"/>
        <v>6</v>
      </c>
      <c r="B8" s="16" t="s">
        <v>282</v>
      </c>
      <c r="C8" t="s">
        <v>226</v>
      </c>
      <c r="D8" t="s">
        <v>223</v>
      </c>
      <c r="E8" t="s">
        <v>149</v>
      </c>
      <c r="F8" t="s">
        <v>7</v>
      </c>
      <c r="I8" t="s">
        <v>283</v>
      </c>
    </row>
    <row r="9" spans="1:9" x14ac:dyDescent="0.25">
      <c r="A9">
        <f t="shared" si="0"/>
        <v>7</v>
      </c>
      <c r="B9" t="s">
        <v>229</v>
      </c>
      <c r="C9" t="s">
        <v>227</v>
      </c>
      <c r="D9" t="s">
        <v>228</v>
      </c>
      <c r="E9" t="s">
        <v>149</v>
      </c>
      <c r="F9" t="s">
        <v>19</v>
      </c>
    </row>
    <row r="10" spans="1:9" x14ac:dyDescent="0.25">
      <c r="A10">
        <f t="shared" si="0"/>
        <v>8</v>
      </c>
      <c r="B10" s="8" t="s">
        <v>230</v>
      </c>
      <c r="C10" s="14" t="s">
        <v>284</v>
      </c>
      <c r="D10" t="s">
        <v>231</v>
      </c>
      <c r="E10" t="s">
        <v>149</v>
      </c>
      <c r="F10" t="s">
        <v>7</v>
      </c>
      <c r="I10" t="s">
        <v>285</v>
      </c>
    </row>
    <row r="11" spans="1:9" x14ac:dyDescent="0.25">
      <c r="A11">
        <f t="shared" si="0"/>
        <v>9</v>
      </c>
      <c r="B11" s="2" t="s">
        <v>241</v>
      </c>
      <c r="D11" t="s">
        <v>293</v>
      </c>
      <c r="E11" t="s">
        <v>144</v>
      </c>
      <c r="F11" t="s">
        <v>7</v>
      </c>
      <c r="G11" s="1" t="s">
        <v>116</v>
      </c>
      <c r="I11" t="s">
        <v>242</v>
      </c>
    </row>
    <row r="12" spans="1:9" x14ac:dyDescent="0.25">
      <c r="A12">
        <f t="shared" si="0"/>
        <v>10</v>
      </c>
      <c r="B12" t="s">
        <v>243</v>
      </c>
      <c r="C12" t="s">
        <v>245</v>
      </c>
      <c r="D12" t="s">
        <v>244</v>
      </c>
      <c r="E12" t="s">
        <v>144</v>
      </c>
      <c r="F12" t="s">
        <v>19</v>
      </c>
    </row>
    <row r="13" spans="1:9" x14ac:dyDescent="0.25">
      <c r="A13">
        <f t="shared" si="0"/>
        <v>11</v>
      </c>
      <c r="B13" s="2" t="s">
        <v>246</v>
      </c>
      <c r="C13" t="s">
        <v>288</v>
      </c>
      <c r="D13" t="s">
        <v>287</v>
      </c>
      <c r="E13" t="s">
        <v>144</v>
      </c>
      <c r="F13" t="s">
        <v>7</v>
      </c>
      <c r="I13" t="s">
        <v>286</v>
      </c>
    </row>
    <row r="14" spans="1:9" x14ac:dyDescent="0.25">
      <c r="A14">
        <f t="shared" si="0"/>
        <v>12</v>
      </c>
      <c r="B14" t="s">
        <v>247</v>
      </c>
      <c r="C14" t="s">
        <v>248</v>
      </c>
      <c r="D14" t="s">
        <v>249</v>
      </c>
      <c r="E14" t="s">
        <v>144</v>
      </c>
      <c r="F14" t="s">
        <v>19</v>
      </c>
    </row>
    <row r="15" spans="1:9" x14ac:dyDescent="0.25">
      <c r="A15">
        <f t="shared" si="0"/>
        <v>13</v>
      </c>
      <c r="B15" t="s">
        <v>250</v>
      </c>
      <c r="C15" t="s">
        <v>251</v>
      </c>
      <c r="D15" t="s">
        <v>252</v>
      </c>
      <c r="E15" t="s">
        <v>8</v>
      </c>
      <c r="F15" t="s">
        <v>19</v>
      </c>
      <c r="I15" t="s">
        <v>253</v>
      </c>
    </row>
    <row r="16" spans="1:9" x14ac:dyDescent="0.25">
      <c r="A16">
        <f t="shared" si="0"/>
        <v>14</v>
      </c>
      <c r="B16" s="2" t="s">
        <v>289</v>
      </c>
      <c r="D16" t="s">
        <v>290</v>
      </c>
      <c r="E16" t="s">
        <v>8</v>
      </c>
      <c r="F16" t="s">
        <v>7</v>
      </c>
      <c r="I16" t="s">
        <v>254</v>
      </c>
    </row>
    <row r="17" spans="1:9" x14ac:dyDescent="0.25">
      <c r="A17">
        <f t="shared" si="0"/>
        <v>15</v>
      </c>
      <c r="B17" s="2" t="s">
        <v>255</v>
      </c>
      <c r="C17" t="s">
        <v>291</v>
      </c>
      <c r="D17" t="s">
        <v>292</v>
      </c>
      <c r="E17" t="s">
        <v>8</v>
      </c>
      <c r="F17" t="s">
        <v>7</v>
      </c>
      <c r="I17" t="s">
        <v>256</v>
      </c>
    </row>
    <row r="18" spans="1:9" x14ac:dyDescent="0.25">
      <c r="A18">
        <f t="shared" si="0"/>
        <v>16</v>
      </c>
      <c r="B18" s="6" t="s">
        <v>257</v>
      </c>
      <c r="C18" t="s">
        <v>258</v>
      </c>
      <c r="D18" t="s">
        <v>259</v>
      </c>
      <c r="E18" t="s">
        <v>8</v>
      </c>
      <c r="F18" t="s">
        <v>19</v>
      </c>
    </row>
    <row r="19" spans="1:9" x14ac:dyDescent="0.25">
      <c r="A19">
        <f t="shared" si="0"/>
        <v>17</v>
      </c>
      <c r="B19" t="s">
        <v>260</v>
      </c>
      <c r="C19" t="s">
        <v>225</v>
      </c>
      <c r="D19" t="s">
        <v>261</v>
      </c>
      <c r="E19" t="s">
        <v>8</v>
      </c>
      <c r="F19" t="s">
        <v>19</v>
      </c>
      <c r="G19" s="1" t="s">
        <v>116</v>
      </c>
    </row>
    <row r="20" spans="1:9" x14ac:dyDescent="0.25">
      <c r="A20">
        <f t="shared" si="0"/>
        <v>18</v>
      </c>
      <c r="B20" t="s">
        <v>262</v>
      </c>
      <c r="C20" t="s">
        <v>78</v>
      </c>
      <c r="D20" t="s">
        <v>263</v>
      </c>
      <c r="E20" t="s">
        <v>16</v>
      </c>
      <c r="F20" t="s">
        <v>19</v>
      </c>
      <c r="I20" s="5" t="s">
        <v>264</v>
      </c>
    </row>
    <row r="21" spans="1:9" x14ac:dyDescent="0.25">
      <c r="A21">
        <f t="shared" si="0"/>
        <v>19</v>
      </c>
    </row>
    <row r="22" spans="1:9" x14ac:dyDescent="0.25">
      <c r="A22">
        <f>ROW(A20)</f>
        <v>20</v>
      </c>
    </row>
    <row r="23" spans="1:9" x14ac:dyDescent="0.25">
      <c r="A23">
        <f>ROW(A21)</f>
        <v>21</v>
      </c>
    </row>
    <row r="24" spans="1:9" x14ac:dyDescent="0.25">
      <c r="A24">
        <f>ROW(A22)</f>
        <v>22</v>
      </c>
    </row>
    <row r="25" spans="1:9" x14ac:dyDescent="0.25">
      <c r="A25">
        <f>ROW(A23)</f>
        <v>23</v>
      </c>
    </row>
    <row r="26" spans="1:9" x14ac:dyDescent="0.25">
      <c r="A26">
        <f t="shared" si="0"/>
        <v>24</v>
      </c>
    </row>
    <row r="27" spans="1:9" x14ac:dyDescent="0.25">
      <c r="A27">
        <f t="shared" si="0"/>
        <v>25</v>
      </c>
    </row>
    <row r="28" spans="1:9" x14ac:dyDescent="0.25">
      <c r="A28">
        <f t="shared" si="0"/>
        <v>26</v>
      </c>
    </row>
    <row r="29" spans="1:9" x14ac:dyDescent="0.25">
      <c r="A29">
        <f t="shared" si="0"/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ARLA 1</vt:lpstr>
      <vt:lpstr>ARLA 2</vt:lpstr>
      <vt:lpstr>ARLA 3</vt:lpstr>
      <vt:lpstr>ZO</vt:lpstr>
      <vt:lpstr>MD</vt:lpstr>
      <vt:lpstr>LU</vt:lpstr>
      <vt:lpstr>SZ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Maričić</dc:creator>
  <cp:lastModifiedBy>PSD Spinut</cp:lastModifiedBy>
  <dcterms:created xsi:type="dcterms:W3CDTF">2026-10-22T05:51:59Z</dcterms:created>
  <dcterms:modified xsi:type="dcterms:W3CDTF">2026-10-26T12:53:57Z</dcterms:modified>
</cp:coreProperties>
</file>